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8f6efdbc2779432/Desktop/excel project examples/"/>
    </mc:Choice>
  </mc:AlternateContent>
  <xr:revisionPtr revIDLastSave="0" documentId="8_{B0404EEE-8594-493A-8009-6E4F066B29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2" i="8" l="1"/>
  <c r="AB23" i="8"/>
  <c r="AB24" i="8"/>
  <c r="AB25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" i="8"/>
  <c r="Z2" i="8" a="1"/>
  <c r="Z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" i="8"/>
  <c r="U2" i="8"/>
  <c r="V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" i="8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N2" i="8"/>
  <c r="K2" i="8"/>
  <c r="L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3" i="8" l="1"/>
  <c r="R14" i="8"/>
  <c r="R12" i="8"/>
  <c r="R10" i="8"/>
  <c r="R11" i="8"/>
  <c r="R9" i="8"/>
  <c r="R8" i="8"/>
  <c r="R6" i="8"/>
  <c r="R5" i="8"/>
  <c r="R20" i="8"/>
  <c r="R4" i="8"/>
  <c r="R19" i="8"/>
  <c r="R7" i="8"/>
  <c r="R18" i="8"/>
  <c r="R17" i="8"/>
  <c r="R16" i="8"/>
  <c r="R15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<sst xmlns="http://schemas.openxmlformats.org/spreadsheetml/2006/main" count="471" uniqueCount="97">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</sst>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0" xfId="0" applyNumberFormat="1"/>
    <xf numFmtId="0" fontId="1" fillId="2" borderId="4" xfId="0" applyNumberFormat="1" applyFont="1" applyFill="1" applyBorder="1"/>
    <xf numFmtId="0" fontId="1" fillId="3" borderId="9" xfId="0" applyNumberFormat="1" applyFont="1" applyFill="1" applyBorder="1"/>
    <xf numFmtId="0" fontId="1" fillId="2" borderId="0" xfId="0" applyNumberFormat="1" applyFont="1" applyFill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</a:t>
            </a:r>
            <a:r>
              <a:rPr lang="en-IN" baseline="0"/>
              <a:t> Postings Per HOur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Data!$AA$3:$AA$25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</c:numCache>
            </c:numRef>
          </c:cat>
          <c:val>
            <c:numRef>
              <c:f>Data!$AB$3:$AB$25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E-4804-87A5-8817C7DF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555295"/>
        <c:axId val="1192560095"/>
      </c:barChart>
      <c:catAx>
        <c:axId val="119255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60095"/>
        <c:crosses val="autoZero"/>
        <c:auto val="1"/>
        <c:lblAlgn val="ctr"/>
        <c:lblOffset val="100"/>
        <c:noMultiLvlLbl val="0"/>
      </c:catAx>
      <c:valAx>
        <c:axId val="119256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5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492125</xdr:colOff>
      <xdr:row>4</xdr:row>
      <xdr:rowOff>117475</xdr:rowOff>
    </xdr:from>
    <xdr:to>
      <xdr:col>36</xdr:col>
      <xdr:colOff>187325</xdr:colOff>
      <xdr:row>19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67C61-A37A-3A2C-7E4E-B26D7A4B6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R3" workbookViewId="0">
      <selection activeCell="AF24" sqref="AF24"/>
    </sheetView>
  </sheetViews>
  <sheetFormatPr defaultRowHeight="14.5" x14ac:dyDescent="0.35"/>
  <cols>
    <col min="1" max="1" width="17.54296875" customWidth="1"/>
    <col min="2" max="2" width="14.26953125" hidden="1" customWidth="1"/>
    <col min="3" max="3" width="27.26953125" hidden="1" customWidth="1"/>
    <col min="4" max="4" width="23" style="9" bestFit="1" customWidth="1"/>
    <col min="5" max="5" width="26.26953125" customWidth="1"/>
    <col min="6" max="6" width="11" customWidth="1"/>
    <col min="7" max="7" width="22" customWidth="1"/>
    <col min="8" max="8" width="40" customWidth="1"/>
    <col min="10" max="13" width="8.81640625" customWidth="1"/>
    <col min="14" max="14" width="14.1796875" customWidth="1"/>
    <col min="15" max="15" width="8.81640625" customWidth="1"/>
    <col min="16" max="16" width="10.08984375" bestFit="1" customWidth="1"/>
    <col min="17" max="17" width="8.81640625" customWidth="1"/>
    <col min="18" max="18" width="15.90625" customWidth="1"/>
    <col min="19" max="23" width="8.81640625" customWidth="1"/>
    <col min="24" max="25" width="14.36328125" customWidth="1"/>
    <col min="26" max="26" width="8.81640625" customWidth="1"/>
  </cols>
  <sheetData>
    <row r="1" spans="1:2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18" t="s">
        <v>4</v>
      </c>
      <c r="I1" s="19"/>
      <c r="J1" s="20" t="s">
        <v>84</v>
      </c>
      <c r="K1" s="20" t="s">
        <v>88</v>
      </c>
      <c r="L1" s="20" t="s">
        <v>85</v>
      </c>
      <c r="M1" s="17"/>
      <c r="N1" s="20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96</v>
      </c>
      <c r="AA1" s="15" t="s">
        <v>93</v>
      </c>
      <c r="AB1" s="16"/>
    </row>
    <row r="2" spans="1:2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21" t="s">
        <v>11</v>
      </c>
      <c r="I2" s="17"/>
      <c r="J2" s="17">
        <f>MONTH(D2)</f>
        <v>2</v>
      </c>
      <c r="K2" s="17">
        <f>DAY(D2)</f>
        <v>14</v>
      </c>
      <c r="L2" s="17">
        <f>YEAR(D2)</f>
        <v>2023</v>
      </c>
      <c r="M2" s="17"/>
      <c r="N2" s="9">
        <f>DATE(L2,J2,K2)</f>
        <v>44971</v>
      </c>
      <c r="P2" s="9">
        <f ca="1">TODAY()</f>
        <v>46149</v>
      </c>
      <c r="R2">
        <f ca="1">DATEDIF(N2,$P$2,"D")</f>
        <v>1178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HOUR(D2:D21)</f>
        <v>15</v>
      </c>
      <c r="AA2" cm="1">
        <f t="array" ref="AA2:AA25">_xlfn.SEQUENCE(24,1)</f>
        <v>1</v>
      </c>
      <c r="AB2">
        <f>COUNTIF(_xlfn.ANCHORARRAY($Z$2),AA2)</f>
        <v>0</v>
      </c>
    </row>
    <row r="3" spans="1:2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 s="17">
        <f t="shared" ref="J3:J22" si="0">MONTH(D3)</f>
        <v>5</v>
      </c>
      <c r="K3" s="17">
        <f t="shared" ref="K3:K21" si="1">DAY(D3)</f>
        <v>9</v>
      </c>
      <c r="L3" s="17">
        <f t="shared" ref="L3:L21" si="2">YEAR(D3)</f>
        <v>2023</v>
      </c>
      <c r="N3" s="9">
        <f t="shared" ref="N3:N21" si="3">DATE(L3,J3,K3)</f>
        <v>45055</v>
      </c>
      <c r="P3" s="9">
        <f t="shared" ref="P3:P20" ca="1" si="4">TODAY()</f>
        <v>46149</v>
      </c>
      <c r="R3">
        <f t="shared" ref="R3:R20" ca="1" si="5">DATEDIF(N3,$P$2,"D")</f>
        <v>1094</v>
      </c>
      <c r="T3">
        <f t="shared" ref="T3:T20" si="6">HOUR(D3)</f>
        <v>9</v>
      </c>
      <c r="U3">
        <f t="shared" ref="U3:U20" si="7">MINUTE(D3)</f>
        <v>45</v>
      </c>
      <c r="V3">
        <f t="shared" ref="V3:V20" si="8">SECOND(D3)</f>
        <v>32</v>
      </c>
      <c r="X3" s="13">
        <f t="shared" ref="X3:X21" si="9">TIME(T3,U3,V3)</f>
        <v>0.40662037037037035</v>
      </c>
      <c r="Y3" t="str">
        <f t="shared" ref="Y3:Y21" si="10">TEXT(D3,"HH:MM AM/PM")</f>
        <v>09:45 AM</v>
      </c>
      <c r="Z3">
        <v>9</v>
      </c>
      <c r="AA3">
        <v>2</v>
      </c>
      <c r="AB3">
        <f t="shared" ref="AB3:AB25" si="11">COUNTIF(_xlfn.ANCHORARRAY($Z$2),AA3)</f>
        <v>0</v>
      </c>
    </row>
    <row r="4" spans="1:2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 s="17">
        <f t="shared" si="0"/>
        <v>7</v>
      </c>
      <c r="K4" s="17">
        <f t="shared" si="1"/>
        <v>21</v>
      </c>
      <c r="L4" s="17">
        <f t="shared" si="2"/>
        <v>2023</v>
      </c>
      <c r="N4" s="9">
        <f t="shared" si="3"/>
        <v>45128</v>
      </c>
      <c r="P4" s="9">
        <f t="shared" ca="1" si="4"/>
        <v>46149</v>
      </c>
      <c r="R4">
        <f t="shared" ca="1" si="5"/>
        <v>1021</v>
      </c>
      <c r="T4">
        <f t="shared" si="6"/>
        <v>17</v>
      </c>
      <c r="U4">
        <f t="shared" si="7"/>
        <v>30</v>
      </c>
      <c r="V4">
        <f t="shared" si="8"/>
        <v>47</v>
      </c>
      <c r="X4" s="13">
        <f t="shared" si="9"/>
        <v>0.72971064814814812</v>
      </c>
      <c r="Y4" t="str">
        <f t="shared" si="10"/>
        <v>05:30 PM</v>
      </c>
      <c r="Z4">
        <v>17</v>
      </c>
      <c r="AA4">
        <v>3</v>
      </c>
      <c r="AB4">
        <f t="shared" si="11"/>
        <v>0</v>
      </c>
    </row>
    <row r="5" spans="1:2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 s="17">
        <f t="shared" si="0"/>
        <v>9</v>
      </c>
      <c r="K5" s="17">
        <f t="shared" si="1"/>
        <v>4</v>
      </c>
      <c r="L5" s="17">
        <f t="shared" si="2"/>
        <v>2023</v>
      </c>
      <c r="N5" s="9">
        <f t="shared" si="3"/>
        <v>45173</v>
      </c>
      <c r="P5" s="9">
        <f t="shared" ca="1" si="4"/>
        <v>46149</v>
      </c>
      <c r="R5">
        <f t="shared" ca="1" si="5"/>
        <v>976</v>
      </c>
      <c r="T5">
        <f t="shared" si="6"/>
        <v>7</v>
      </c>
      <c r="U5">
        <f t="shared" si="7"/>
        <v>15</v>
      </c>
      <c r="V5">
        <f t="shared" si="8"/>
        <v>9</v>
      </c>
      <c r="X5" s="13">
        <f t="shared" si="9"/>
        <v>0.3021875</v>
      </c>
      <c r="Y5" t="str">
        <f t="shared" si="10"/>
        <v>07:15 AM</v>
      </c>
      <c r="Z5">
        <v>7</v>
      </c>
      <c r="AA5">
        <v>4</v>
      </c>
      <c r="AB5">
        <f t="shared" si="11"/>
        <v>0</v>
      </c>
    </row>
    <row r="6" spans="1:2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 s="17">
        <f t="shared" si="0"/>
        <v>11</v>
      </c>
      <c r="K6" s="17">
        <f t="shared" si="1"/>
        <v>18</v>
      </c>
      <c r="L6" s="17">
        <f t="shared" si="2"/>
        <v>2023</v>
      </c>
      <c r="N6" s="9">
        <f t="shared" si="3"/>
        <v>45248</v>
      </c>
      <c r="P6" s="9">
        <f t="shared" ca="1" si="4"/>
        <v>46149</v>
      </c>
      <c r="R6">
        <f t="shared" ca="1" si="5"/>
        <v>901</v>
      </c>
      <c r="T6">
        <f t="shared" si="6"/>
        <v>17</v>
      </c>
      <c r="U6">
        <f t="shared" si="7"/>
        <v>0</v>
      </c>
      <c r="V6">
        <f t="shared" si="8"/>
        <v>21</v>
      </c>
      <c r="X6" s="13">
        <f t="shared" si="9"/>
        <v>0.70857638888888885</v>
      </c>
      <c r="Y6" t="str">
        <f t="shared" si="10"/>
        <v>05:00 PM</v>
      </c>
      <c r="Z6">
        <v>17</v>
      </c>
      <c r="AA6">
        <v>5</v>
      </c>
      <c r="AB6">
        <f t="shared" si="11"/>
        <v>0</v>
      </c>
    </row>
    <row r="7" spans="1:2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 s="17">
        <f t="shared" si="0"/>
        <v>1</v>
      </c>
      <c r="K7" s="17">
        <f t="shared" si="1"/>
        <v>11</v>
      </c>
      <c r="L7" s="17">
        <f t="shared" si="2"/>
        <v>2024</v>
      </c>
      <c r="N7" s="9">
        <f t="shared" si="3"/>
        <v>45302</v>
      </c>
      <c r="P7" s="9">
        <f t="shared" ca="1" si="4"/>
        <v>46149</v>
      </c>
      <c r="R7">
        <f t="shared" ca="1" si="5"/>
        <v>847</v>
      </c>
      <c r="T7">
        <f t="shared" si="6"/>
        <v>12</v>
      </c>
      <c r="U7">
        <f t="shared" si="7"/>
        <v>45</v>
      </c>
      <c r="V7">
        <f t="shared" si="8"/>
        <v>58</v>
      </c>
      <c r="X7" s="13">
        <f t="shared" si="9"/>
        <v>0.53192129629629625</v>
      </c>
      <c r="Y7" t="str">
        <f t="shared" si="10"/>
        <v>12:45 PM</v>
      </c>
      <c r="Z7">
        <v>12</v>
      </c>
      <c r="AA7">
        <v>6</v>
      </c>
      <c r="AB7">
        <f t="shared" si="11"/>
        <v>1</v>
      </c>
    </row>
    <row r="8" spans="1:2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 s="17">
        <f t="shared" si="0"/>
        <v>3</v>
      </c>
      <c r="K8" s="17">
        <f t="shared" si="1"/>
        <v>3</v>
      </c>
      <c r="L8" s="17">
        <f t="shared" si="2"/>
        <v>2024</v>
      </c>
      <c r="N8" s="9">
        <f t="shared" si="3"/>
        <v>45354</v>
      </c>
      <c r="P8" s="9">
        <f t="shared" ca="1" si="4"/>
        <v>46149</v>
      </c>
      <c r="R8">
        <f t="shared" ca="1" si="5"/>
        <v>795</v>
      </c>
      <c r="T8">
        <f t="shared" si="6"/>
        <v>16</v>
      </c>
      <c r="U8">
        <f t="shared" si="7"/>
        <v>30</v>
      </c>
      <c r="V8">
        <f t="shared" si="8"/>
        <v>33</v>
      </c>
      <c r="X8" s="13">
        <f t="shared" si="9"/>
        <v>0.68788194444444439</v>
      </c>
      <c r="Y8" t="str">
        <f t="shared" si="10"/>
        <v>04:30 PM</v>
      </c>
      <c r="Z8">
        <v>16</v>
      </c>
      <c r="AA8">
        <v>7</v>
      </c>
      <c r="AB8">
        <f t="shared" si="11"/>
        <v>3</v>
      </c>
    </row>
    <row r="9" spans="1:2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 s="17">
        <f t="shared" si="0"/>
        <v>4</v>
      </c>
      <c r="K9" s="17">
        <f t="shared" si="1"/>
        <v>26</v>
      </c>
      <c r="L9" s="17">
        <f t="shared" si="2"/>
        <v>2024</v>
      </c>
      <c r="N9" s="9">
        <f t="shared" si="3"/>
        <v>45408</v>
      </c>
      <c r="P9" s="9">
        <f t="shared" ca="1" si="4"/>
        <v>46149</v>
      </c>
      <c r="R9">
        <f t="shared" ca="1" si="5"/>
        <v>741</v>
      </c>
      <c r="T9">
        <f t="shared" si="6"/>
        <v>8</v>
      </c>
      <c r="U9">
        <f t="shared" si="7"/>
        <v>10</v>
      </c>
      <c r="V9">
        <f t="shared" si="8"/>
        <v>46</v>
      </c>
      <c r="X9" s="13">
        <f t="shared" si="9"/>
        <v>0.34081018518518519</v>
      </c>
      <c r="Y9" t="str">
        <f t="shared" si="10"/>
        <v>08:10 AM</v>
      </c>
      <c r="Z9">
        <v>8</v>
      </c>
      <c r="AA9">
        <v>8</v>
      </c>
      <c r="AB9">
        <f t="shared" si="11"/>
        <v>1</v>
      </c>
    </row>
    <row r="10" spans="1:2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 s="17">
        <f t="shared" si="0"/>
        <v>6</v>
      </c>
      <c r="K10" s="17">
        <f t="shared" si="1"/>
        <v>15</v>
      </c>
      <c r="L10" s="17">
        <f t="shared" si="2"/>
        <v>2024</v>
      </c>
      <c r="N10" s="9">
        <f t="shared" si="3"/>
        <v>45458</v>
      </c>
      <c r="P10" s="9">
        <f t="shared" ca="1" si="4"/>
        <v>46149</v>
      </c>
      <c r="R10">
        <f t="shared" ca="1" si="5"/>
        <v>691</v>
      </c>
      <c r="T10">
        <f t="shared" si="6"/>
        <v>17</v>
      </c>
      <c r="U10">
        <f t="shared" si="7"/>
        <v>50</v>
      </c>
      <c r="V10">
        <f t="shared" si="8"/>
        <v>24</v>
      </c>
      <c r="X10" s="13">
        <f t="shared" si="9"/>
        <v>0.74333333333333329</v>
      </c>
      <c r="Y10" t="str">
        <f t="shared" si="10"/>
        <v>05:50 PM</v>
      </c>
      <c r="Z10">
        <v>17</v>
      </c>
      <c r="AA10">
        <v>9</v>
      </c>
      <c r="AB10">
        <f t="shared" si="11"/>
        <v>1</v>
      </c>
    </row>
    <row r="11" spans="1:2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 s="17">
        <f t="shared" si="0"/>
        <v>7</v>
      </c>
      <c r="K11" s="17">
        <f t="shared" si="1"/>
        <v>7</v>
      </c>
      <c r="L11" s="17">
        <f t="shared" si="2"/>
        <v>2024</v>
      </c>
      <c r="N11" s="9">
        <f t="shared" si="3"/>
        <v>45480</v>
      </c>
      <c r="P11" s="9">
        <f t="shared" ca="1" si="4"/>
        <v>46149</v>
      </c>
      <c r="R11">
        <f t="shared" ca="1" si="5"/>
        <v>669</v>
      </c>
      <c r="T11">
        <f t="shared" si="6"/>
        <v>14</v>
      </c>
      <c r="U11">
        <f t="shared" si="7"/>
        <v>35</v>
      </c>
      <c r="V11">
        <f t="shared" si="8"/>
        <v>36</v>
      </c>
      <c r="X11" s="13">
        <f t="shared" si="9"/>
        <v>0.60805555555555557</v>
      </c>
      <c r="Y11" t="str">
        <f t="shared" si="10"/>
        <v>02:35 PM</v>
      </c>
      <c r="Z11">
        <v>14</v>
      </c>
      <c r="AA11">
        <v>10</v>
      </c>
      <c r="AB11">
        <f t="shared" si="11"/>
        <v>1</v>
      </c>
    </row>
    <row r="12" spans="1:2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 s="17">
        <f t="shared" si="0"/>
        <v>6</v>
      </c>
      <c r="K12" s="17">
        <f t="shared" si="1"/>
        <v>12</v>
      </c>
      <c r="L12" s="17">
        <f t="shared" si="2"/>
        <v>2024</v>
      </c>
      <c r="N12" s="9">
        <f t="shared" si="3"/>
        <v>45455</v>
      </c>
      <c r="P12" s="9">
        <f t="shared" ca="1" si="4"/>
        <v>46149</v>
      </c>
      <c r="R12">
        <f t="shared" ca="1" si="5"/>
        <v>694</v>
      </c>
      <c r="T12">
        <f t="shared" si="6"/>
        <v>6</v>
      </c>
      <c r="U12">
        <f t="shared" si="7"/>
        <v>50</v>
      </c>
      <c r="V12">
        <f t="shared" si="8"/>
        <v>18</v>
      </c>
      <c r="X12" s="13">
        <f t="shared" si="9"/>
        <v>0.28493055555555558</v>
      </c>
      <c r="Y12" t="str">
        <f t="shared" si="10"/>
        <v>06:50 AM</v>
      </c>
      <c r="Z12">
        <v>6</v>
      </c>
      <c r="AA12">
        <v>11</v>
      </c>
      <c r="AB12">
        <f t="shared" si="11"/>
        <v>1</v>
      </c>
    </row>
    <row r="13" spans="1:2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 s="17">
        <f t="shared" si="0"/>
        <v>1</v>
      </c>
      <c r="K13" s="17">
        <f t="shared" si="1"/>
        <v>25</v>
      </c>
      <c r="L13" s="17">
        <f t="shared" si="2"/>
        <v>2023</v>
      </c>
      <c r="N13" s="9">
        <f t="shared" si="3"/>
        <v>44951</v>
      </c>
      <c r="P13" s="9">
        <f t="shared" ca="1" si="4"/>
        <v>46149</v>
      </c>
      <c r="R13">
        <f t="shared" ca="1" si="5"/>
        <v>1198</v>
      </c>
      <c r="T13">
        <f t="shared" si="6"/>
        <v>13</v>
      </c>
      <c r="U13">
        <f t="shared" si="7"/>
        <v>15</v>
      </c>
      <c r="V13">
        <f t="shared" si="8"/>
        <v>5</v>
      </c>
      <c r="X13" s="13">
        <f t="shared" si="9"/>
        <v>0.55214120370370368</v>
      </c>
      <c r="Y13" t="str">
        <f t="shared" si="10"/>
        <v>01:15 PM</v>
      </c>
      <c r="Z13">
        <v>13</v>
      </c>
      <c r="AA13">
        <v>12</v>
      </c>
      <c r="AB13">
        <f t="shared" si="11"/>
        <v>1</v>
      </c>
    </row>
    <row r="14" spans="1:2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 s="17">
        <f t="shared" si="0"/>
        <v>3</v>
      </c>
      <c r="K14" s="17">
        <f t="shared" si="1"/>
        <v>17</v>
      </c>
      <c r="L14" s="17">
        <f t="shared" si="2"/>
        <v>2023</v>
      </c>
      <c r="N14" s="9">
        <f t="shared" si="3"/>
        <v>45002</v>
      </c>
      <c r="P14" s="9">
        <f t="shared" ca="1" si="4"/>
        <v>46149</v>
      </c>
      <c r="R14">
        <f t="shared" ca="1" si="5"/>
        <v>1147</v>
      </c>
      <c r="T14">
        <f t="shared" si="6"/>
        <v>11</v>
      </c>
      <c r="U14">
        <f t="shared" si="7"/>
        <v>45</v>
      </c>
      <c r="V14">
        <f t="shared" si="8"/>
        <v>39</v>
      </c>
      <c r="X14" s="13">
        <f t="shared" si="9"/>
        <v>0.49003472222222222</v>
      </c>
      <c r="Y14" t="str">
        <f t="shared" si="10"/>
        <v>11:45 AM</v>
      </c>
      <c r="Z14">
        <v>11</v>
      </c>
      <c r="AA14">
        <v>13</v>
      </c>
      <c r="AB14">
        <f t="shared" si="11"/>
        <v>1</v>
      </c>
    </row>
    <row r="15" spans="1:2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 s="17">
        <f t="shared" si="0"/>
        <v>6</v>
      </c>
      <c r="K15" s="17">
        <f t="shared" si="1"/>
        <v>1</v>
      </c>
      <c r="L15" s="17">
        <f t="shared" si="2"/>
        <v>2023</v>
      </c>
      <c r="N15" s="9">
        <f t="shared" si="3"/>
        <v>45078</v>
      </c>
      <c r="P15" s="9">
        <f t="shared" ca="1" si="4"/>
        <v>46149</v>
      </c>
      <c r="R15">
        <f t="shared" ca="1" si="5"/>
        <v>1071</v>
      </c>
      <c r="T15">
        <f t="shared" si="6"/>
        <v>10</v>
      </c>
      <c r="U15">
        <f t="shared" si="7"/>
        <v>0</v>
      </c>
      <c r="V15">
        <f t="shared" si="8"/>
        <v>51</v>
      </c>
      <c r="X15" s="13">
        <f t="shared" si="9"/>
        <v>0.41725694444444444</v>
      </c>
      <c r="Y15" t="str">
        <f t="shared" si="10"/>
        <v>10:00 AM</v>
      </c>
      <c r="Z15">
        <v>10</v>
      </c>
      <c r="AA15">
        <v>14</v>
      </c>
      <c r="AB15">
        <f t="shared" si="11"/>
        <v>1</v>
      </c>
    </row>
    <row r="16" spans="1:2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 s="17">
        <f t="shared" si="0"/>
        <v>8</v>
      </c>
      <c r="K16" s="17">
        <f t="shared" si="1"/>
        <v>30</v>
      </c>
      <c r="L16" s="17">
        <f t="shared" si="2"/>
        <v>2023</v>
      </c>
      <c r="N16" s="9">
        <f t="shared" si="3"/>
        <v>45168</v>
      </c>
      <c r="P16" s="9">
        <f t="shared" ca="1" si="4"/>
        <v>46149</v>
      </c>
      <c r="R16">
        <f t="shared" ca="1" si="5"/>
        <v>981</v>
      </c>
      <c r="T16">
        <f t="shared" si="6"/>
        <v>17</v>
      </c>
      <c r="U16">
        <f t="shared" si="7"/>
        <v>30</v>
      </c>
      <c r="V16">
        <f t="shared" si="8"/>
        <v>14</v>
      </c>
      <c r="X16" s="13">
        <f t="shared" si="9"/>
        <v>0.72932870370370373</v>
      </c>
      <c r="Y16" t="str">
        <f t="shared" si="10"/>
        <v>05:30 PM</v>
      </c>
      <c r="Z16">
        <v>17</v>
      </c>
      <c r="AA16">
        <v>15</v>
      </c>
      <c r="AB16">
        <f t="shared" si="11"/>
        <v>1</v>
      </c>
    </row>
    <row r="17" spans="1:2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 s="17">
        <f t="shared" si="0"/>
        <v>10</v>
      </c>
      <c r="K17" s="17">
        <f t="shared" si="1"/>
        <v>19</v>
      </c>
      <c r="L17" s="17">
        <f t="shared" si="2"/>
        <v>2023</v>
      </c>
      <c r="N17" s="9">
        <f t="shared" si="3"/>
        <v>45218</v>
      </c>
      <c r="P17" s="9">
        <f t="shared" ca="1" si="4"/>
        <v>46149</v>
      </c>
      <c r="R17">
        <f t="shared" ca="1" si="5"/>
        <v>931</v>
      </c>
      <c r="T17">
        <f t="shared" si="6"/>
        <v>7</v>
      </c>
      <c r="U17">
        <f t="shared" si="7"/>
        <v>40</v>
      </c>
      <c r="V17">
        <f t="shared" si="8"/>
        <v>29</v>
      </c>
      <c r="X17" s="13">
        <f t="shared" si="9"/>
        <v>0.3197800925925926</v>
      </c>
      <c r="Y17" t="str">
        <f t="shared" si="10"/>
        <v>07:40 AM</v>
      </c>
      <c r="Z17">
        <v>7</v>
      </c>
      <c r="AA17">
        <v>16</v>
      </c>
      <c r="AB17">
        <f t="shared" si="11"/>
        <v>1</v>
      </c>
    </row>
    <row r="18" spans="1:2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 s="17">
        <f t="shared" si="0"/>
        <v>2</v>
      </c>
      <c r="K18" s="17">
        <f t="shared" si="1"/>
        <v>28</v>
      </c>
      <c r="L18" s="17">
        <f t="shared" si="2"/>
        <v>2024</v>
      </c>
      <c r="N18" s="9">
        <f t="shared" si="3"/>
        <v>45350</v>
      </c>
      <c r="P18" s="9">
        <f t="shared" ca="1" si="4"/>
        <v>46149</v>
      </c>
      <c r="R18">
        <f t="shared" ca="1" si="5"/>
        <v>799</v>
      </c>
      <c r="T18">
        <f t="shared" si="6"/>
        <v>17</v>
      </c>
      <c r="U18">
        <f t="shared" si="7"/>
        <v>15</v>
      </c>
      <c r="V18">
        <f t="shared" si="8"/>
        <v>42</v>
      </c>
      <c r="X18" s="13">
        <f t="shared" si="9"/>
        <v>0.71923611111111108</v>
      </c>
      <c r="Y18" t="str">
        <f t="shared" si="10"/>
        <v>05:15 PM</v>
      </c>
      <c r="Z18">
        <v>17</v>
      </c>
      <c r="AA18">
        <v>17</v>
      </c>
      <c r="AB18">
        <f t="shared" si="11"/>
        <v>7</v>
      </c>
    </row>
    <row r="19" spans="1:2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 s="17">
        <f t="shared" si="0"/>
        <v>5</v>
      </c>
      <c r="K19" s="17">
        <f t="shared" si="1"/>
        <v>6</v>
      </c>
      <c r="L19" s="17">
        <f t="shared" si="2"/>
        <v>2024</v>
      </c>
      <c r="N19" s="9">
        <f t="shared" si="3"/>
        <v>45418</v>
      </c>
      <c r="P19" s="9">
        <f t="shared" ca="1" si="4"/>
        <v>46149</v>
      </c>
      <c r="R19">
        <f t="shared" ca="1" si="5"/>
        <v>731</v>
      </c>
      <c r="T19">
        <f t="shared" si="6"/>
        <v>17</v>
      </c>
      <c r="U19">
        <f t="shared" si="7"/>
        <v>25</v>
      </c>
      <c r="V19">
        <f t="shared" si="8"/>
        <v>57</v>
      </c>
      <c r="X19" s="13">
        <f t="shared" si="9"/>
        <v>0.72635416666666663</v>
      </c>
      <c r="Y19" t="str">
        <f t="shared" si="10"/>
        <v>05:25 PM</v>
      </c>
      <c r="Z19">
        <v>17</v>
      </c>
      <c r="AA19">
        <v>18</v>
      </c>
      <c r="AB19">
        <f t="shared" si="11"/>
        <v>0</v>
      </c>
    </row>
    <row r="20" spans="1:2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 s="17">
        <f t="shared" si="0"/>
        <v>7</v>
      </c>
      <c r="K20" s="17">
        <f t="shared" si="1"/>
        <v>23</v>
      </c>
      <c r="L20" s="17">
        <f t="shared" si="2"/>
        <v>2024</v>
      </c>
      <c r="N20" s="9">
        <f t="shared" si="3"/>
        <v>45496</v>
      </c>
      <c r="P20" s="9">
        <f t="shared" ca="1" si="4"/>
        <v>46149</v>
      </c>
      <c r="R20">
        <f t="shared" ca="1" si="5"/>
        <v>653</v>
      </c>
      <c r="T20">
        <f t="shared" si="6"/>
        <v>7</v>
      </c>
      <c r="U20">
        <f t="shared" si="7"/>
        <v>0</v>
      </c>
      <c r="V20">
        <f t="shared" si="8"/>
        <v>3</v>
      </c>
      <c r="X20" s="13">
        <f t="shared" si="9"/>
        <v>0.29170138888888891</v>
      </c>
      <c r="Y20" t="str">
        <f t="shared" si="10"/>
        <v>07:00 AM</v>
      </c>
      <c r="Z20">
        <v>7</v>
      </c>
      <c r="AA20">
        <v>19</v>
      </c>
      <c r="AB20">
        <f t="shared" si="11"/>
        <v>0</v>
      </c>
    </row>
    <row r="21" spans="1:2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 s="17">
        <f t="shared" si="0"/>
        <v>5</v>
      </c>
      <c r="K21" s="17">
        <f t="shared" si="1"/>
        <v>10</v>
      </c>
      <c r="L21" s="17">
        <f t="shared" si="2"/>
        <v>2024</v>
      </c>
      <c r="N21" s="9">
        <f t="shared" si="3"/>
        <v>45422</v>
      </c>
      <c r="X21" s="13">
        <f t="shared" si="9"/>
        <v>0</v>
      </c>
      <c r="Y21" t="str">
        <f t="shared" si="10"/>
        <v>05:45 PM</v>
      </c>
      <c r="Z21">
        <v>17</v>
      </c>
      <c r="AA21">
        <v>20</v>
      </c>
      <c r="AB21">
        <f t="shared" si="11"/>
        <v>0</v>
      </c>
    </row>
    <row r="22" spans="1:28" x14ac:dyDescent="0.35">
      <c r="J22" s="17"/>
      <c r="AA22">
        <v>21</v>
      </c>
      <c r="AB22">
        <f>COUNTIF(_xlfn.ANCHORARRAY($Z$2),AA22)</f>
        <v>0</v>
      </c>
    </row>
    <row r="23" spans="1:28" x14ac:dyDescent="0.35">
      <c r="AA23">
        <v>22</v>
      </c>
      <c r="AB23">
        <f t="shared" si="11"/>
        <v>0</v>
      </c>
    </row>
    <row r="24" spans="1:28" x14ac:dyDescent="0.35">
      <c r="AA24">
        <v>23</v>
      </c>
      <c r="AB24">
        <f t="shared" si="11"/>
        <v>0</v>
      </c>
    </row>
    <row r="25" spans="1:28" x14ac:dyDescent="0.35">
      <c r="AA25">
        <v>24</v>
      </c>
      <c r="AB25">
        <f t="shared" si="11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hidden="1" customWidth="1"/>
    <col min="6" max="6" width="11" hidden="1" customWidth="1"/>
    <col min="7" max="7" width="22" hidden="1" customWidth="1"/>
    <col min="8" max="8" width="40" hidden="1" customWidth="1"/>
    <col min="13" max="13" width="1.81640625" customWidth="1"/>
    <col min="14" max="14" width="15.81640625" bestFit="1" customWidth="1"/>
    <col min="16" max="16" width="9.6328125" bestFit="1" customWidth="1"/>
    <col min="18" max="18" width="18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46149</v>
      </c>
      <c r="R2">
        <f ca="1">DATEDIF(D2,$P$2,"D")</f>
        <v>1178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1094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1021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976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901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847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795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741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691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669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694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1198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1147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1071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981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931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799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731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653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bestFit="1" customWidth="1"/>
    <col min="6" max="6" width="11" bestFit="1" customWidth="1"/>
    <col min="7" max="7" width="22" bestFit="1" customWidth="1"/>
    <col min="8" max="8" width="40" bestFit="1" customWidth="1"/>
    <col min="13" max="13" width="2.7265625" customWidth="1"/>
    <col min="14" max="14" width="15.81640625" bestFit="1" customWidth="1"/>
    <col min="15" max="15" width="14.453125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5">
      <c r="Q22" s="14">
        <v>20</v>
      </c>
      <c r="R22">
        <f t="shared" si="5"/>
        <v>0</v>
      </c>
    </row>
    <row r="23" spans="1:18" x14ac:dyDescent="0.35">
      <c r="Q23" s="14">
        <v>21</v>
      </c>
      <c r="R23">
        <f t="shared" si="5"/>
        <v>0</v>
      </c>
    </row>
    <row r="24" spans="1:18" x14ac:dyDescent="0.35">
      <c r="Q24" s="14">
        <v>22</v>
      </c>
      <c r="R24">
        <f t="shared" si="5"/>
        <v>0</v>
      </c>
    </row>
    <row r="25" spans="1:18" x14ac:dyDescent="0.35">
      <c r="Q25" s="14">
        <v>23</v>
      </c>
      <c r="R25">
        <f t="shared" si="5"/>
        <v>0</v>
      </c>
    </row>
    <row r="26" spans="1:18" x14ac:dyDescent="0.3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Gopi Koya</cp:lastModifiedBy>
  <dcterms:created xsi:type="dcterms:W3CDTF">2015-06-05T18:17:20Z</dcterms:created>
  <dcterms:modified xsi:type="dcterms:W3CDTF">2026-05-07T12:15:08Z</dcterms:modified>
</cp:coreProperties>
</file>