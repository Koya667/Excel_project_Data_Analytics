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8f6efdbc2779432/Desktop/"/>
    </mc:Choice>
  </mc:AlternateContent>
  <xr:revisionPtr revIDLastSave="54" documentId="8_{3E3A2FF9-D1C9-4A00-AC3A-689ECBEA9BED}" xr6:coauthVersionLast="47" xr6:coauthVersionMax="47" xr10:uidLastSave="{01D29755-0FEB-4A83-ABD4-CCD322E0FE98}"/>
  <bookViews>
    <workbookView xWindow="-110" yWindow="-110" windowWidth="19420" windowHeight="1030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0" l="1" a="1"/>
  <c r="R3" i="10"/>
  <c r="R4" i="10" a="1"/>
  <c r="R4" i="10" s="1"/>
  <c r="R5" i="10" a="1"/>
  <c r="R5" i="10" s="1"/>
  <c r="R6" i="10" a="1"/>
  <c r="R6" i="10" s="1"/>
  <c r="R7" i="10" a="1"/>
  <c r="R7" i="10" s="1"/>
  <c r="R8" i="10" a="1"/>
  <c r="R8" i="10"/>
  <c r="R9" i="10" a="1"/>
  <c r="R9" i="10"/>
  <c r="R10" i="10" a="1"/>
  <c r="R10" i="10"/>
  <c r="R11" i="10" a="1"/>
  <c r="R11" i="10"/>
  <c r="R12" i="10" a="1"/>
  <c r="R12" i="10" s="1"/>
  <c r="R13" i="10" a="1"/>
  <c r="R13" i="10" s="1"/>
  <c r="R14" i="10" a="1"/>
  <c r="R14" i="10"/>
  <c r="R15" i="10" a="1"/>
  <c r="R15" i="10"/>
  <c r="R16" i="10" a="1"/>
  <c r="R16" i="10"/>
  <c r="R17" i="10" a="1"/>
  <c r="R17" i="10"/>
  <c r="R18" i="10" a="1"/>
  <c r="R18" i="10" s="1"/>
  <c r="R19" i="10" a="1"/>
  <c r="R19" i="10" s="1"/>
  <c r="R20" i="10" a="1"/>
  <c r="R20" i="10"/>
  <c r="R21" i="10" a="1"/>
  <c r="R21" i="10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 l="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<sst xmlns="http://schemas.openxmlformats.org/spreadsheetml/2006/main" count="395" uniqueCount="144">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</sst>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S5" sqref="S5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8.26953125" style="1" bestFit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customWidth="1"/>
    <col min="13" max="13" width="9.1796875" style="1" customWidth="1"/>
    <col min="14" max="14" width="10.453125" style="1" hidden="1" customWidth="1"/>
    <col min="15" max="15" width="14.1796875" style="1" hidden="1" customWidth="1"/>
    <col min="16" max="16" width="9.6328125" style="1" customWidth="1"/>
    <col min="17" max="17" width="9.1796875" style="1"/>
    <col min="18" max="18" width="14.1796875" style="1" bestFit="1" customWidth="1"/>
    <col min="19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Meet","Not Met")</f>
        <v>Goal Meet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Meet","Not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hidden="1" customWidth="1"/>
    <col min="13" max="13" width="9.1796875" style="1" hidden="1" customWidth="1"/>
    <col min="14" max="14" width="10.453125" style="1" hidden="1" customWidth="1"/>
    <col min="15" max="15" width="14.1796875" style="1" hidden="1" customWidth="1"/>
    <col min="16" max="16" width="9.6328125" style="1" hidden="1" customWidth="1"/>
    <col min="17" max="17" width="9.6328125" style="1" customWidth="1"/>
    <col min="18" max="18" width="9.1796875" style="1"/>
    <col min="19" max="19" width="14.1796875" style="1" bestFit="1" customWidth="1"/>
    <col min="20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T7" sqref="T7"/>
    </sheetView>
  </sheetViews>
  <sheetFormatPr defaultRowHeight="14.5" x14ac:dyDescent="0.35"/>
  <cols>
    <col min="1" max="1" width="16.81640625" bestFit="1" customWidth="1"/>
    <col min="2" max="2" width="19.1796875" hidden="1" customWidth="1"/>
    <col min="3" max="3" width="22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bestFit="1" customWidth="1"/>
    <col min="9" max="9" width="19" hidden="1" customWidth="1"/>
    <col min="10" max="10" width="68.1796875" hidden="1" customWidth="1"/>
    <col min="11" max="11" width="10.90625" hidden="1" customWidth="1"/>
    <col min="12" max="12" width="14.26953125" hidden="1" customWidth="1"/>
    <col min="13" max="13" width="10.36328125" hidden="1" customWidth="1"/>
    <col min="14" max="14" width="6.54296875" hidden="1" customWidth="1"/>
    <col min="15" max="15" width="5.81640625" hidden="1" customWidth="1"/>
    <col min="16" max="16" width="10.36328125" bestFit="1" customWidth="1"/>
    <col min="17" max="17" width="9.6328125" bestFit="1" customWidth="1"/>
    <col min="18" max="18" width="9.7265625" bestFit="1" customWidth="1"/>
  </cols>
  <sheetData>
    <row r="1" spans="1:18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IF($A2=K$1,"RoleDesired","Not Desired")</f>
        <v>Not Desired</v>
      </c>
      <c r="L2" t="str">
        <f>IF($A2=L$1,"RoleDesired","Not Desired")</f>
        <v>Not Desired</v>
      </c>
      <c r="M2" t="str">
        <f>IF($A2=K$1,  "RoleDesired",  IF($A2=L$1,  "RoleDesired","Not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 "Role Desired", "Not Desired")</f>
        <v>Not Desired</v>
      </c>
      <c r="Q2" t="str">
        <f>IF($H2&gt;$Q$1, "Salary&gt;85k", "Salary Low")</f>
        <v>Salary&gt;85k</v>
      </c>
      <c r="R2" t="str" cm="1">
        <f t="array" ref="R2">_xlfn.IFS($H2="", "No Data",$H2&gt;=$Q$1,"Salary&gt;85K", TRUE, "SalaryLow")</f>
        <v>Salary&gt;85K</v>
      </c>
    </row>
    <row r="3" spans="1:18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IF($A3=K$1,"RoleDesired","Not Desired")</f>
        <v>RoleDesired</v>
      </c>
      <c r="L3" t="str">
        <f t="shared" si="0"/>
        <v>Not Desired</v>
      </c>
      <c r="M3" t="str">
        <f t="shared" ref="M3:M21" si="1">IF($A3=K$1,  "RoleDesired",  IF($A3=L$1,  "RoleDesired","Not Desired"))</f>
        <v>RoleDesired</v>
      </c>
      <c r="N3" t="b">
        <f t="shared" ref="N3:N21" si="2">AND($A3=$K$1,$A3=$L$1)</f>
        <v>0</v>
      </c>
      <c r="O3" t="b">
        <f t="shared" ref="O3:O21" si="3">OR($A3=$K$1,$A3=$L$1)</f>
        <v>1</v>
      </c>
      <c r="P3" t="str">
        <f t="shared" ref="P3:P21" si="4">IF(OR($A3=$K$1,$A3=$L$1), "Role Desired", "Not Desired")</f>
        <v>Role Desired</v>
      </c>
      <c r="Q3" t="str">
        <f t="shared" ref="Q3:Q21" si="5">IF($H3&gt;$Q$1, "Salary&gt;85k", "Salary Low")</f>
        <v>Salary Low</v>
      </c>
      <c r="R3" t="str" cm="1">
        <f t="array" ref="R3">_xlfn.IFS($H3="", "No Data",$H3&gt;=$Q$1,"Salary&gt;85K", TRUE, "SalaryLow")</f>
        <v>SalaryLow</v>
      </c>
    </row>
    <row r="4" spans="1:18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RoleDesired</v>
      </c>
      <c r="L4" t="str">
        <f t="shared" si="0"/>
        <v>Not Desired</v>
      </c>
      <c r="M4" t="str">
        <f t="shared" si="1"/>
        <v>RoleDesired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 "No Data",$H4&gt;=$Q$1,"Salary&gt;85K", TRUE, "SalaryLow")</f>
        <v>No Data</v>
      </c>
    </row>
    <row r="5" spans="1:18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 "No Data",$H5&gt;=$Q$1,"Salary&gt;85K", TRUE, "SalaryLow")</f>
        <v>No Data</v>
      </c>
    </row>
    <row r="6" spans="1:18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 "No Data",$H6&gt;=$Q$1,"Salary&gt;85K", TRUE, "SalaryLow")</f>
        <v>No Data</v>
      </c>
    </row>
    <row r="7" spans="1:18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 "No Data",$H7&gt;=$Q$1,"Salary&gt;85K", TRUE, "SalaryLow")</f>
        <v>No Data</v>
      </c>
    </row>
    <row r="8" spans="1:18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RoleDesired</v>
      </c>
      <c r="L8" t="str">
        <f t="shared" si="0"/>
        <v>Not Desired</v>
      </c>
      <c r="M8" t="str">
        <f t="shared" si="1"/>
        <v>RoleDesired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 "No Data",$H8&gt;=$Q$1,"Salary&gt;85K", TRUE, "SalaryLow")</f>
        <v>No Data</v>
      </c>
    </row>
    <row r="9" spans="1:18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RoleDesired</v>
      </c>
      <c r="L9" t="str">
        <f t="shared" si="0"/>
        <v>Not Desired</v>
      </c>
      <c r="M9" t="str">
        <f t="shared" si="1"/>
        <v>RoleDesired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Salary&gt;85k</v>
      </c>
      <c r="R9" t="str" cm="1">
        <f t="array" ref="R9">_xlfn.IFS($H9="", "No Data",$H9&gt;=$Q$1,"Salary&gt;85K", TRUE, "SalaryLow")</f>
        <v>Salary&gt;85K</v>
      </c>
    </row>
    <row r="10" spans="1:18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RoleDesired</v>
      </c>
      <c r="L10" t="str">
        <f t="shared" si="0"/>
        <v>Not Desired</v>
      </c>
      <c r="M10" t="str">
        <f t="shared" si="1"/>
        <v>RoleDesired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 "No Data",$H10&gt;=$Q$1,"Salary&gt;85K", TRUE, "SalaryLow")</f>
        <v>No Data</v>
      </c>
    </row>
    <row r="11" spans="1:18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RoleDesired</v>
      </c>
      <c r="L11" t="str">
        <f t="shared" si="0"/>
        <v>Not Desired</v>
      </c>
      <c r="M11" t="str">
        <f t="shared" si="1"/>
        <v>RoleDesired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Salary&gt;85k</v>
      </c>
      <c r="R11" t="str" cm="1">
        <f t="array" ref="R11">_xlfn.IFS($H11="", "No Data",$H11&gt;=$Q$1,"Salary&gt;85K", TRUE, "SalaryLow")</f>
        <v>Salary&gt;85K</v>
      </c>
    </row>
    <row r="12" spans="1:18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 cm="1">
        <f t="array" ref="R12">_xlfn.IFS($H12="", "No Data",$H12&gt;=$Q$1,"Salary&gt;85K", TRUE, "SalaryLow")</f>
        <v>Salary&gt;85K</v>
      </c>
    </row>
    <row r="13" spans="1:18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 cm="1">
        <f t="array" ref="R13">_xlfn.IFS($H13="", "No Data",$H13&gt;=$Q$1,"Salary&gt;85K", TRUE, "SalaryLow")</f>
        <v>Salary&gt;85K</v>
      </c>
    </row>
    <row r="14" spans="1:18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 cm="1">
        <f t="array" ref="R14">_xlfn.IFS($H14="", "No Data",$H14&gt;=$Q$1,"Salary&gt;85K", TRUE, "SalaryLow")</f>
        <v>Salary&gt;85K</v>
      </c>
    </row>
    <row r="15" spans="1:18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 "No Data",$H15&gt;=$Q$1,"Salary&gt;85K", TRUE, "SalaryLow")</f>
        <v>SalaryLow</v>
      </c>
    </row>
    <row r="16" spans="1:18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Salary&gt;85k</v>
      </c>
      <c r="R16" t="str" cm="1">
        <f t="array" ref="R16">_xlfn.IFS($H16="", "No Data",$H16&gt;=$Q$1,"Salary&gt;85K", TRUE, "SalaryLow")</f>
        <v>Salary&gt;85K</v>
      </c>
    </row>
    <row r="17" spans="1:18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 cm="1">
        <f t="array" ref="R17">_xlfn.IFS($H17="", "No Data",$H17&gt;=$Q$1,"Salary&gt;85K", TRUE, "SalaryLow")</f>
        <v>Salary&gt;85K</v>
      </c>
    </row>
    <row r="18" spans="1:18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RoleDesired</v>
      </c>
      <c r="M18" t="str">
        <f t="shared" si="1"/>
        <v>RoleDesired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 "No Data",$H18&gt;=$Q$1,"Salary&gt;85K", TRUE, "SalaryLow")</f>
        <v>No Data</v>
      </c>
    </row>
    <row r="19" spans="1:18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Salary&gt;85k</v>
      </c>
      <c r="R19" t="str" cm="1">
        <f t="array" ref="R19">_xlfn.IFS($H19="", "No Data",$H19&gt;=$Q$1,"Salary&gt;85K", TRUE, "SalaryLow")</f>
        <v>Salary&gt;85K</v>
      </c>
    </row>
    <row r="20" spans="1:18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 "No Data",$H20&gt;=$Q$1,"Salary&gt;85K", TRUE, "SalaryLow")</f>
        <v>No Data</v>
      </c>
    </row>
    <row r="21" spans="1:18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RoleDesired</v>
      </c>
      <c r="M21" t="str">
        <f t="shared" si="1"/>
        <v>RoleDesired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Salary&gt;85k</v>
      </c>
      <c r="R21" t="str" cm="1">
        <f t="array" ref="R21">_xlfn.IFS($H21="", "No Data",$H21&gt;=$Q$1,"Salary&gt;85K", TRUE, "SalaryLow")</f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5" x14ac:dyDescent="0.35"/>
  <cols>
    <col min="1" max="1" width="16.81640625" bestFit="1" customWidth="1"/>
    <col min="2" max="2" width="17.453125" hidden="1" customWidth="1"/>
    <col min="3" max="3" width="21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bestFit="1" customWidth="1"/>
    <col min="9" max="9" width="19" hidden="1" customWidth="1"/>
    <col min="10" max="10" width="68.1796875" hidden="1" customWidth="1"/>
    <col min="11" max="11" width="15.81640625" bestFit="1" customWidth="1"/>
    <col min="12" max="12" width="19.1796875" bestFit="1" customWidth="1"/>
    <col min="13" max="13" width="14.26953125" bestFit="1" customWidth="1"/>
    <col min="14" max="14" width="11.26953125" bestFit="1" customWidth="1"/>
    <col min="15" max="15" width="10.1796875" bestFit="1" customWidth="1"/>
    <col min="16" max="16" width="14.26953125" bestFit="1" customWidth="1"/>
    <col min="17" max="17" width="10.6328125" bestFit="1" customWidth="1"/>
    <col min="18" max="18" width="12.453125" bestFit="1" customWidth="1"/>
  </cols>
  <sheetData>
    <row r="1" spans="1:18 16384:16384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5" x14ac:dyDescent="0.35"/>
  <cols>
    <col min="1" max="1" width="6.54296875" customWidth="1"/>
    <col min="2" max="2" width="13.453125" customWidth="1"/>
    <col min="3" max="3" width="31.453125" bestFit="1" customWidth="1"/>
    <col min="4" max="4" width="60.453125" bestFit="1" customWidth="1"/>
    <col min="5" max="5" width="19.6328125" bestFit="1" customWidth="1"/>
    <col min="6" max="6" width="17.54296875" bestFit="1" customWidth="1"/>
  </cols>
  <sheetData>
    <row r="2" spans="2:6" x14ac:dyDescent="0.3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5" x14ac:dyDescent="0.35"/>
  <cols>
    <col min="2" max="2" width="9.81640625" bestFit="1" customWidth="1"/>
    <col min="3" max="3" width="10.54296875" customWidth="1"/>
  </cols>
  <sheetData>
    <row r="1" spans="2:5" ht="15" thickBot="1" x14ac:dyDescent="0.4"/>
    <row r="2" spans="2:5" x14ac:dyDescent="0.3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4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Gopi Koya</cp:lastModifiedBy>
  <dcterms:created xsi:type="dcterms:W3CDTF">2024-07-16T20:11:02Z</dcterms:created>
  <dcterms:modified xsi:type="dcterms:W3CDTF">2026-05-04T08:03:06Z</dcterms:modified>
</cp:coreProperties>
</file>