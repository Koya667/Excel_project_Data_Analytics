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e8f6efdbc2779432/Desktop/excel project examples/"/>
    </mc:Choice>
  </mc:AlternateContent>
  <xr:revisionPtr revIDLastSave="0" documentId="8_{E4BA2C50-6606-472E-9239-33F5FAE76DE7}" xr6:coauthVersionLast="47" xr6:coauthVersionMax="47" xr10:uidLastSave="{00000000-0000-0000-0000-000000000000}"/>
  <bookViews>
    <workbookView xWindow="-110" yWindow="-110" windowWidth="19420" windowHeight="10300" xr2:uid="{6C37AC85-509F-4D10-9DB1-F70D16D6FBAB}"/>
  </bookViews>
  <sheets>
    <sheet name="Original" sheetId="3" r:id="rId1"/>
    <sheet name="Data_Table_One-Input" sheetId="1" r:id="rId2"/>
    <sheet name="Data_Table_Two-Input" sheetId="2" r:id="rId3"/>
  </sheets>
  <definedNames>
    <definedName name="base" localSheetId="2">'Data_Table_Two-Input'!$C$3</definedName>
    <definedName name="base" localSheetId="0">Original!$C$3</definedName>
    <definedName name="base">'Data_Table_One-Input'!$C$3</definedName>
    <definedName name="bonus" localSheetId="2">'Data_Table_Two-Input'!$C$4</definedName>
    <definedName name="bonus" localSheetId="0">Original!$C$4</definedName>
    <definedName name="bonus">'Data_Table_One-Input'!$C$4</definedName>
    <definedName name="bonuys" localSheetId="2">'Data_Table_Two-Input'!$C$4</definedName>
    <definedName name="bonuys" localSheetId="0">Original!$C$4</definedName>
    <definedName name="bonuys">'Data_Table_One-Input'!$C$4</definedName>
    <definedName name="raise" localSheetId="2">'Data_Table_Two-Input'!$C$5</definedName>
    <definedName name="raise" localSheetId="0">Original!$C$5</definedName>
    <definedName name="raise">'Data_Table_One-Input'!$C$5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3" i="3" l="1"/>
  <c r="G3" i="3"/>
  <c r="C9" i="3"/>
  <c r="C13" i="3"/>
  <c r="J3" i="3" s="1"/>
  <c r="C12" i="3"/>
  <c r="C11" i="3"/>
  <c r="H3" i="3" s="1"/>
  <c r="C10" i="3"/>
  <c r="C13" i="2"/>
  <c r="C12" i="2"/>
  <c r="C11" i="2"/>
  <c r="C10" i="2"/>
  <c r="C9" i="2"/>
  <c r="C10" i="1"/>
  <c r="G3" i="1" s="1"/>
  <c r="C11" i="1"/>
  <c r="H3" i="1" s="1"/>
  <c r="C12" i="1"/>
  <c r="I3" i="1" s="1"/>
  <c r="C13" i="1"/>
  <c r="J3" i="1" s="1"/>
  <c r="C9" i="1"/>
  <c r="F3" i="1" s="1"/>
  <c r="C14" i="3" l="1"/>
  <c r="K3" i="3" s="1"/>
  <c r="F3" i="3"/>
  <c r="C14" i="2"/>
  <c r="E3" i="2" s="1"/>
  <c r="C14" i="1"/>
  <c r="K3" i="1" s="1"/>
</calcChain>
</file>

<file path=xl/sharedStrings.xml><?xml version="1.0" encoding="utf-8"?>
<sst xmlns="http://schemas.openxmlformats.org/spreadsheetml/2006/main" count="40" uniqueCount="20">
  <si>
    <t>Base Salary</t>
  </si>
  <si>
    <t>Bonus</t>
  </si>
  <si>
    <t>Annual Raise</t>
  </si>
  <si>
    <t>Total</t>
  </si>
  <si>
    <t>Year 1</t>
  </si>
  <si>
    <t>Year 2</t>
  </si>
  <si>
    <t>Year 3</t>
  </si>
  <si>
    <t>Year 4</t>
  </si>
  <si>
    <t>Year 0</t>
  </si>
  <si>
    <t>Input Cells</t>
  </si>
  <si>
    <t>Result Cells</t>
  </si>
  <si>
    <t>Year</t>
  </si>
  <si>
    <t>Amount</t>
  </si>
  <si>
    <t>Annual Rise</t>
  </si>
  <si>
    <t>year 0</t>
  </si>
  <si>
    <t>year1</t>
  </si>
  <si>
    <t>year 2</t>
  </si>
  <si>
    <t>year 3</t>
  </si>
  <si>
    <t>year4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</si>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</sst>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&quot;$&quot;* #,##0.00_);_(&quot;$&quot;* \(#,##0.00\);_(&quot;$&quot;* &quot;-&quot;??_);_(@_)"/>
    <numFmt numFmtId="165" formatCode="_(&quot;$&quot;* #,##0_);_(&quot;$&quot;* \(#,##0\);_(&quot;$&quot;* &quot;-&quot;??_);_(@_)"/>
    <numFmt numFmtId="166" formatCode="0.0%"/>
  </numFmts>
  <fonts count="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sz val="11"/>
      <color theme="0" tint="-0.14999847407452621"/>
      <name val="Aptos Narrow"/>
      <family val="2"/>
      <scheme val="minor"/>
    </font>
    <font>
      <sz val="11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i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C99"/>
      </patternFill>
    </fill>
  </fills>
  <borders count="20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medium">
        <color indexed="64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medium">
        <color indexed="64"/>
      </right>
      <top style="thin">
        <color rgb="FF7F7F7F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7" fillId="2" borderId="16" applyNumberFormat="0" applyAlignment="0" applyProtection="0"/>
  </cellStyleXfs>
  <cellXfs count="36">
    <xf numFmtId="0" fontId="0" fillId="0" borderId="0" xfId="0"/>
    <xf numFmtId="165" fontId="0" fillId="0" borderId="0" xfId="1" applyNumberFormat="1" applyFont="1" applyBorder="1"/>
    <xf numFmtId="165" fontId="0" fillId="0" borderId="1" xfId="1" applyNumberFormat="1" applyFont="1" applyBorder="1"/>
    <xf numFmtId="165" fontId="0" fillId="0" borderId="2" xfId="1" applyNumberFormat="1" applyFont="1" applyBorder="1"/>
    <xf numFmtId="165" fontId="0" fillId="0" borderId="3" xfId="1" applyNumberFormat="1" applyFont="1" applyBorder="1"/>
    <xf numFmtId="0" fontId="2" fillId="0" borderId="0" xfId="0" applyFont="1" applyAlignment="1">
      <alignment horizontal="center"/>
    </xf>
    <xf numFmtId="0" fontId="2" fillId="0" borderId="12" xfId="0" applyFont="1" applyBorder="1"/>
    <xf numFmtId="165" fontId="0" fillId="0" borderId="13" xfId="1" applyNumberFormat="1" applyFont="1" applyBorder="1"/>
    <xf numFmtId="0" fontId="2" fillId="0" borderId="14" xfId="0" applyFont="1" applyBorder="1"/>
    <xf numFmtId="0" fontId="2" fillId="0" borderId="12" xfId="0" applyFont="1" applyBorder="1" applyAlignment="1">
      <alignment horizontal="left"/>
    </xf>
    <xf numFmtId="0" fontId="2" fillId="0" borderId="14" xfId="0" applyFont="1" applyBorder="1" applyAlignment="1">
      <alignment horizontal="left"/>
    </xf>
    <xf numFmtId="165" fontId="5" fillId="0" borderId="4" xfId="0" applyNumberFormat="1" applyFont="1" applyBorder="1"/>
    <xf numFmtId="165" fontId="5" fillId="0" borderId="5" xfId="0" applyNumberFormat="1" applyFont="1" applyBorder="1"/>
    <xf numFmtId="165" fontId="5" fillId="0" borderId="6" xfId="0" applyNumberFormat="1" applyFont="1" applyBorder="1"/>
    <xf numFmtId="0" fontId="2" fillId="0" borderId="12" xfId="0" applyFont="1" applyBorder="1" applyAlignment="1">
      <alignment horizontal="center"/>
    </xf>
    <xf numFmtId="0" fontId="2" fillId="0" borderId="13" xfId="0" applyFont="1" applyBorder="1" applyAlignment="1">
      <alignment horizontal="center"/>
    </xf>
    <xf numFmtId="166" fontId="2" fillId="0" borderId="7" xfId="0" applyNumberFormat="1" applyFont="1" applyBorder="1"/>
    <xf numFmtId="166" fontId="2" fillId="0" borderId="8" xfId="0" applyNumberFormat="1" applyFont="1" applyBorder="1"/>
    <xf numFmtId="166" fontId="2" fillId="0" borderId="9" xfId="0" applyNumberFormat="1" applyFont="1" applyBorder="1"/>
    <xf numFmtId="9" fontId="6" fillId="0" borderId="4" xfId="2" applyFont="1" applyBorder="1"/>
    <xf numFmtId="9" fontId="6" fillId="0" borderId="5" xfId="2" applyFont="1" applyBorder="1"/>
    <xf numFmtId="9" fontId="6" fillId="0" borderId="6" xfId="2" applyFont="1" applyBorder="1"/>
    <xf numFmtId="0" fontId="8" fillId="0" borderId="0" xfId="0" applyFont="1" applyAlignment="1">
      <alignment horizontal="center"/>
    </xf>
    <xf numFmtId="0" fontId="2" fillId="0" borderId="4" xfId="0" applyFont="1" applyBorder="1"/>
    <xf numFmtId="165" fontId="2" fillId="0" borderId="15" xfId="1" applyNumberFormat="1" applyFont="1" applyBorder="1"/>
    <xf numFmtId="165" fontId="7" fillId="2" borderId="17" xfId="3" applyNumberFormat="1" applyBorder="1"/>
    <xf numFmtId="9" fontId="7" fillId="2" borderId="17" xfId="3" applyNumberFormat="1" applyBorder="1"/>
    <xf numFmtId="166" fontId="7" fillId="2" borderId="18" xfId="3" applyNumberFormat="1" applyBorder="1"/>
    <xf numFmtId="0" fontId="4" fillId="0" borderId="10" xfId="0" applyFont="1" applyBorder="1" applyAlignment="1">
      <alignment horizontal="center"/>
    </xf>
    <xf numFmtId="0" fontId="4" fillId="0" borderId="11" xfId="0" applyFont="1" applyBorder="1" applyAlignment="1">
      <alignment horizontal="center"/>
    </xf>
    <xf numFmtId="0" fontId="8" fillId="0" borderId="1" xfId="0" applyFont="1" applyBorder="1" applyAlignment="1">
      <alignment vertical="center" textRotation="90" wrapText="1"/>
    </xf>
    <xf numFmtId="0" fontId="8" fillId="0" borderId="2" xfId="0" applyFont="1" applyBorder="1" applyAlignment="1">
      <alignment horizontal="center"/>
    </xf>
    <xf numFmtId="0" fontId="0" fillId="0" borderId="19" xfId="0" applyBorder="1"/>
    <xf numFmtId="165" fontId="6" fillId="0" borderId="4" xfId="2" applyNumberFormat="1" applyFont="1" applyBorder="1"/>
    <xf numFmtId="165" fontId="6" fillId="0" borderId="5" xfId="2" applyNumberFormat="1" applyFont="1" applyBorder="1"/>
    <xf numFmtId="165" fontId="6" fillId="0" borderId="6" xfId="2" applyNumberFormat="1" applyFont="1" applyBorder="1"/>
  </cellXfs>
  <cellStyles count="4">
    <cellStyle name="Currency" xfId="1" builtinId="4"/>
    <cellStyle name="Input" xfId="3" builtinId="20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AB43CA-5103-49AE-8216-4AB866E06AE4}">
  <dimension ref="B1:K16"/>
  <sheetViews>
    <sheetView tabSelected="1" zoomScaleNormal="100" workbookViewId="0">
      <selection activeCell="G8" sqref="G8"/>
    </sheetView>
  </sheetViews>
  <sheetFormatPr defaultRowHeight="14.5" x14ac:dyDescent="0.35"/>
  <cols>
    <col min="2" max="2" width="11.54296875" customWidth="1"/>
    <col min="3" max="3" width="11.90625" bestFit="1" customWidth="1"/>
    <col min="5" max="5" width="11" bestFit="1" customWidth="1"/>
    <col min="6" max="11" width="11.08984375" customWidth="1"/>
  </cols>
  <sheetData>
    <row r="1" spans="2:11" ht="15" thickBot="1" x14ac:dyDescent="0.4"/>
    <row r="2" spans="2:11" ht="15" thickBot="1" x14ac:dyDescent="0.4">
      <c r="B2" s="28" t="s">
        <v>9</v>
      </c>
      <c r="C2" s="29"/>
      <c r="E2" s="5" t="s">
        <v>13</v>
      </c>
      <c r="F2" s="5" t="s">
        <v>14</v>
      </c>
      <c r="G2" s="5" t="s">
        <v>15</v>
      </c>
      <c r="H2" s="5" t="s">
        <v>16</v>
      </c>
      <c r="I2" s="5" t="s">
        <v>17</v>
      </c>
      <c r="J2" s="5" t="s">
        <v>18</v>
      </c>
      <c r="K2" s="5" t="s">
        <v>19</v>
      </c>
    </row>
    <row r="3" spans="2:11" ht="15" thickBot="1" x14ac:dyDescent="0.4">
      <c r="B3" s="6" t="s">
        <v>0</v>
      </c>
      <c r="C3" s="25">
        <v>100000</v>
      </c>
      <c r="E3" s="11"/>
      <c r="F3" s="33">
        <f>C9</f>
        <v>110000.00000000001</v>
      </c>
      <c r="G3" s="34">
        <f>C10</f>
        <v>111650</v>
      </c>
      <c r="H3" s="34">
        <f>C11</f>
        <v>113324.74999999997</v>
      </c>
      <c r="I3" s="34">
        <f>C12</f>
        <v>115024.62124999997</v>
      </c>
      <c r="J3" s="34">
        <f>C13</f>
        <v>116749.99056874996</v>
      </c>
      <c r="K3" s="35">
        <f>C14</f>
        <v>566749.36181874992</v>
      </c>
    </row>
    <row r="4" spans="2:11" x14ac:dyDescent="0.35">
      <c r="B4" s="6" t="s">
        <v>1</v>
      </c>
      <c r="C4" s="26">
        <v>0.1</v>
      </c>
      <c r="E4" s="16">
        <v>0</v>
      </c>
      <c r="F4" s="1">
        <f t="dataTable" ref="F4:K12" dt2D="0" dtr="0" r1="C5"/>
        <v>110000.00000000001</v>
      </c>
      <c r="G4" s="1">
        <v>110000.00000000001</v>
      </c>
      <c r="H4" s="1">
        <v>110000.00000000001</v>
      </c>
      <c r="I4" s="1">
        <v>110000.00000000001</v>
      </c>
      <c r="J4" s="1">
        <v>110000.00000000001</v>
      </c>
      <c r="K4" s="2">
        <v>550000.00000000012</v>
      </c>
    </row>
    <row r="5" spans="2:11" ht="15" thickBot="1" x14ac:dyDescent="0.4">
      <c r="B5" s="8" t="s">
        <v>2</v>
      </c>
      <c r="C5" s="27">
        <v>1.4999999999999999E-2</v>
      </c>
      <c r="E5" s="17">
        <v>5.0000000000000001E-3</v>
      </c>
      <c r="F5" s="1">
        <v>110000.00000000001</v>
      </c>
      <c r="G5" s="1">
        <v>110550</v>
      </c>
      <c r="H5" s="1">
        <v>111102.74999999997</v>
      </c>
      <c r="I5" s="1">
        <v>111658.26374999997</v>
      </c>
      <c r="J5" s="1">
        <v>112216.55506874995</v>
      </c>
      <c r="K5" s="2">
        <v>555527.56881874998</v>
      </c>
    </row>
    <row r="6" spans="2:11" ht="15" thickBot="1" x14ac:dyDescent="0.4">
      <c r="E6" s="17">
        <v>0.01</v>
      </c>
      <c r="F6" s="1">
        <v>110000.00000000001</v>
      </c>
      <c r="G6" s="1">
        <v>111100.00000000001</v>
      </c>
      <c r="H6" s="1">
        <v>112211.00000000001</v>
      </c>
      <c r="I6" s="1">
        <v>113333.11</v>
      </c>
      <c r="J6" s="1">
        <v>114466.44110000001</v>
      </c>
      <c r="K6" s="2">
        <v>561110.55110000004</v>
      </c>
    </row>
    <row r="7" spans="2:11" x14ac:dyDescent="0.35">
      <c r="B7" s="28" t="s">
        <v>10</v>
      </c>
      <c r="C7" s="29"/>
      <c r="E7" s="17">
        <v>1.4999999999999999E-2</v>
      </c>
      <c r="F7" s="1">
        <v>110000.00000000001</v>
      </c>
      <c r="G7" s="1">
        <v>111650</v>
      </c>
      <c r="H7" s="1">
        <v>113324.74999999997</v>
      </c>
      <c r="I7" s="1">
        <v>115024.62124999997</v>
      </c>
      <c r="J7" s="1">
        <v>116749.99056874996</v>
      </c>
      <c r="K7" s="2">
        <v>566749.36181874992</v>
      </c>
    </row>
    <row r="8" spans="2:11" x14ac:dyDescent="0.35">
      <c r="B8" s="14" t="s">
        <v>11</v>
      </c>
      <c r="C8" s="15" t="s">
        <v>12</v>
      </c>
      <c r="E8" s="17">
        <v>0.02</v>
      </c>
      <c r="F8" s="1">
        <v>110000.00000000001</v>
      </c>
      <c r="G8" s="1">
        <v>112200.00000000001</v>
      </c>
      <c r="H8" s="1">
        <v>114444.00000000001</v>
      </c>
      <c r="I8" s="1">
        <v>116732.87999999999</v>
      </c>
      <c r="J8" s="1">
        <v>119067.53760000001</v>
      </c>
      <c r="K8" s="2">
        <v>572444.41760000004</v>
      </c>
    </row>
    <row r="9" spans="2:11" x14ac:dyDescent="0.35">
      <c r="B9" s="9">
        <v>0</v>
      </c>
      <c r="C9" s="7">
        <f>(base*(1+raise)^B9)*(1+bonus)</f>
        <v>110000.00000000001</v>
      </c>
      <c r="E9" s="17">
        <v>2.5000000000000001E-2</v>
      </c>
      <c r="F9" s="1">
        <v>110000.00000000001</v>
      </c>
      <c r="G9" s="1">
        <v>112750</v>
      </c>
      <c r="H9" s="1">
        <v>115568.75</v>
      </c>
      <c r="I9" s="1">
        <v>118457.96875</v>
      </c>
      <c r="J9" s="1">
        <v>121419.41796874997</v>
      </c>
      <c r="K9" s="2">
        <v>578196.13671875</v>
      </c>
    </row>
    <row r="10" spans="2:11" x14ac:dyDescent="0.35">
      <c r="B10" s="9">
        <v>1</v>
      </c>
      <c r="C10" s="7">
        <f>(base*(1+raise)^B10)*(1+bonus)</f>
        <v>111650</v>
      </c>
      <c r="E10" s="17">
        <v>0.03</v>
      </c>
      <c r="F10" s="1">
        <v>110000.00000000001</v>
      </c>
      <c r="G10" s="1">
        <v>113300.00000000001</v>
      </c>
      <c r="H10" s="1">
        <v>116699.00000000001</v>
      </c>
      <c r="I10" s="1">
        <v>120199.97</v>
      </c>
      <c r="J10" s="1">
        <v>123805.9691</v>
      </c>
      <c r="K10" s="2">
        <v>584004.93910000008</v>
      </c>
    </row>
    <row r="11" spans="2:11" x14ac:dyDescent="0.35">
      <c r="B11" s="9">
        <v>2</v>
      </c>
      <c r="C11" s="7">
        <f>(base*(1+raise)^B11)*(1+bonus)</f>
        <v>113324.74999999997</v>
      </c>
      <c r="E11" s="17">
        <v>3.5000000000000003E-2</v>
      </c>
      <c r="F11" s="1">
        <v>110000.00000000001</v>
      </c>
      <c r="G11" s="1">
        <v>113850</v>
      </c>
      <c r="H11" s="1">
        <v>117834.75</v>
      </c>
      <c r="I11" s="1">
        <v>121958.96624999998</v>
      </c>
      <c r="J11" s="1">
        <v>126227.53006874998</v>
      </c>
      <c r="K11" s="2">
        <v>589871.24631874997</v>
      </c>
    </row>
    <row r="12" spans="2:11" ht="15" thickBot="1" x14ac:dyDescent="0.4">
      <c r="B12" s="9">
        <v>3</v>
      </c>
      <c r="C12" s="7">
        <f>(base*(1+raise)^B12)*(1+bonus)</f>
        <v>115024.62124999997</v>
      </c>
      <c r="E12" s="18">
        <v>0.04</v>
      </c>
      <c r="F12" s="3">
        <v>110000.00000000001</v>
      </c>
      <c r="G12" s="3">
        <v>114400.00000000001</v>
      </c>
      <c r="H12" s="3">
        <v>118976.00000000003</v>
      </c>
      <c r="I12" s="3">
        <v>123735.04000000002</v>
      </c>
      <c r="J12" s="3">
        <v>128684.44160000002</v>
      </c>
      <c r="K12" s="4">
        <v>595795.48160000006</v>
      </c>
    </row>
    <row r="13" spans="2:11" x14ac:dyDescent="0.35">
      <c r="B13" s="9">
        <v>4</v>
      </c>
      <c r="C13" s="7">
        <f>(base*(1+raise)^B13)*(1+bonus)</f>
        <v>116749.99056874996</v>
      </c>
    </row>
    <row r="14" spans="2:11" ht="15" thickBot="1" x14ac:dyDescent="0.4">
      <c r="B14" s="10" t="s">
        <v>3</v>
      </c>
      <c r="C14" s="24">
        <f>SUM(C9:C13)</f>
        <v>566749.36181874992</v>
      </c>
    </row>
    <row r="16" spans="2:11" x14ac:dyDescent="0.35">
      <c r="F16" s="32"/>
    </row>
  </sheetData>
  <mergeCells count="2">
    <mergeCell ref="B2:C2"/>
    <mergeCell ref="B7:C7"/>
  </mergeCells>
  <conditionalFormatting sqref="F4:J12">
    <cfRule type="colorScale" priority="2">
      <colorScale>
        <cfvo type="min"/>
        <cfvo type="max"/>
        <color rgb="FFFCFCFF"/>
        <color rgb="FF63BE7B"/>
      </colorScale>
    </cfRule>
  </conditionalFormatting>
  <conditionalFormatting sqref="K3:K12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C30AE1-3DCF-4D4C-A69F-2300F502F068}">
  <dimension ref="B1:K14"/>
  <sheetViews>
    <sheetView zoomScaleNormal="100" workbookViewId="0">
      <selection activeCell="M14" sqref="M14"/>
    </sheetView>
  </sheetViews>
  <sheetFormatPr defaultRowHeight="14.5" x14ac:dyDescent="0.35"/>
  <cols>
    <col min="2" max="2" width="11.54296875" customWidth="1"/>
    <col min="3" max="3" width="11.90625" bestFit="1" customWidth="1"/>
    <col min="5" max="5" width="11" bestFit="1" customWidth="1"/>
    <col min="6" max="11" width="11.08984375" customWidth="1"/>
  </cols>
  <sheetData>
    <row r="1" spans="2:11" ht="15" thickBot="1" x14ac:dyDescent="0.4"/>
    <row r="2" spans="2:11" ht="15" thickBot="1" x14ac:dyDescent="0.4">
      <c r="B2" s="28" t="s">
        <v>9</v>
      </c>
      <c r="C2" s="29"/>
      <c r="E2" s="22" t="s">
        <v>2</v>
      </c>
      <c r="F2" s="22" t="s">
        <v>8</v>
      </c>
      <c r="G2" s="22" t="s">
        <v>4</v>
      </c>
      <c r="H2" s="22" t="s">
        <v>5</v>
      </c>
      <c r="I2" s="22" t="s">
        <v>6</v>
      </c>
      <c r="J2" s="22" t="s">
        <v>7</v>
      </c>
      <c r="K2" s="22" t="s">
        <v>3</v>
      </c>
    </row>
    <row r="3" spans="2:11" ht="15" thickBot="1" x14ac:dyDescent="0.4">
      <c r="B3" s="6" t="s">
        <v>0</v>
      </c>
      <c r="C3" s="25">
        <v>100000</v>
      </c>
      <c r="E3" s="23"/>
      <c r="F3" s="12">
        <f>C9</f>
        <v>110000.00000000001</v>
      </c>
      <c r="G3" s="12">
        <f>C10</f>
        <v>111650</v>
      </c>
      <c r="H3" s="12">
        <f>C11</f>
        <v>113324.74999999997</v>
      </c>
      <c r="I3" s="12">
        <f>C12</f>
        <v>115024.62124999997</v>
      </c>
      <c r="J3" s="12">
        <f>C13</f>
        <v>116749.99056874996</v>
      </c>
      <c r="K3" s="13">
        <f>C14</f>
        <v>566749.36181874992</v>
      </c>
    </row>
    <row r="4" spans="2:11" x14ac:dyDescent="0.35">
      <c r="B4" s="6" t="s">
        <v>1</v>
      </c>
      <c r="C4" s="26">
        <v>0.1</v>
      </c>
      <c r="E4" s="17">
        <v>0</v>
      </c>
      <c r="F4" s="1">
        <f t="dataTable" ref="F4:K12" dt2D="0" dtr="0" r1="C5"/>
        <v>110000.00000000001</v>
      </c>
      <c r="G4" s="1">
        <v>110000.00000000001</v>
      </c>
      <c r="H4" s="1">
        <v>110000.00000000001</v>
      </c>
      <c r="I4" s="1">
        <v>110000.00000000001</v>
      </c>
      <c r="J4" s="1">
        <v>110000.00000000001</v>
      </c>
      <c r="K4" s="2">
        <v>550000.00000000012</v>
      </c>
    </row>
    <row r="5" spans="2:11" ht="15" thickBot="1" x14ac:dyDescent="0.4">
      <c r="B5" s="8" t="s">
        <v>2</v>
      </c>
      <c r="C5" s="27">
        <v>1.4999999999999999E-2</v>
      </c>
      <c r="E5" s="17">
        <v>5.0000000000000001E-3</v>
      </c>
      <c r="F5" s="1">
        <v>110000.00000000001</v>
      </c>
      <c r="G5" s="1">
        <v>110550</v>
      </c>
      <c r="H5" s="1">
        <v>111102.74999999997</v>
      </c>
      <c r="I5" s="1">
        <v>111658.26374999997</v>
      </c>
      <c r="J5" s="1">
        <v>112216.55506874995</v>
      </c>
      <c r="K5" s="2">
        <v>555527.56881874998</v>
      </c>
    </row>
    <row r="6" spans="2:11" ht="15" thickBot="1" x14ac:dyDescent="0.4">
      <c r="E6" s="17">
        <v>0.01</v>
      </c>
      <c r="F6" s="1">
        <v>110000.00000000001</v>
      </c>
      <c r="G6" s="1">
        <v>111100.00000000001</v>
      </c>
      <c r="H6" s="1">
        <v>112211.00000000001</v>
      </c>
      <c r="I6" s="1">
        <v>113333.11</v>
      </c>
      <c r="J6" s="1">
        <v>114466.44110000001</v>
      </c>
      <c r="K6" s="2">
        <v>561110.55110000004</v>
      </c>
    </row>
    <row r="7" spans="2:11" x14ac:dyDescent="0.35">
      <c r="B7" s="28" t="s">
        <v>10</v>
      </c>
      <c r="C7" s="29"/>
      <c r="E7" s="17">
        <v>1.4999999999999999E-2</v>
      </c>
      <c r="F7" s="1">
        <v>110000.00000000001</v>
      </c>
      <c r="G7" s="1">
        <v>111650</v>
      </c>
      <c r="H7" s="1">
        <v>113324.74999999997</v>
      </c>
      <c r="I7" s="1">
        <v>115024.62124999997</v>
      </c>
      <c r="J7" s="1">
        <v>116749.99056874996</v>
      </c>
      <c r="K7" s="2">
        <v>566749.36181874992</v>
      </c>
    </row>
    <row r="8" spans="2:11" x14ac:dyDescent="0.35">
      <c r="B8" s="14" t="s">
        <v>11</v>
      </c>
      <c r="C8" s="15" t="s">
        <v>12</v>
      </c>
      <c r="E8" s="17">
        <v>0.02</v>
      </c>
      <c r="F8" s="1">
        <v>110000.00000000001</v>
      </c>
      <c r="G8" s="1">
        <v>112200.00000000001</v>
      </c>
      <c r="H8" s="1">
        <v>114444.00000000001</v>
      </c>
      <c r="I8" s="1">
        <v>116732.87999999999</v>
      </c>
      <c r="J8" s="1">
        <v>119067.53760000001</v>
      </c>
      <c r="K8" s="2">
        <v>572444.41760000004</v>
      </c>
    </row>
    <row r="9" spans="2:11" x14ac:dyDescent="0.35">
      <c r="B9" s="9">
        <v>0</v>
      </c>
      <c r="C9" s="7">
        <f>(base*(1+raise)^B9)*(1+bonus)</f>
        <v>110000.00000000001</v>
      </c>
      <c r="E9" s="17">
        <v>2.5000000000000001E-2</v>
      </c>
      <c r="F9" s="1">
        <v>110000.00000000001</v>
      </c>
      <c r="G9" s="1">
        <v>112750</v>
      </c>
      <c r="H9" s="1">
        <v>115568.75</v>
      </c>
      <c r="I9" s="1">
        <v>118457.96875</v>
      </c>
      <c r="J9" s="1">
        <v>121419.41796874997</v>
      </c>
      <c r="K9" s="2">
        <v>578196.13671875</v>
      </c>
    </row>
    <row r="10" spans="2:11" x14ac:dyDescent="0.35">
      <c r="B10" s="9">
        <v>1</v>
      </c>
      <c r="C10" s="7">
        <f>(base*(1+raise)^B10)*(1+bonus)</f>
        <v>111650</v>
      </c>
      <c r="E10" s="17">
        <v>0.03</v>
      </c>
      <c r="F10" s="1">
        <v>110000.00000000001</v>
      </c>
      <c r="G10" s="1">
        <v>113300.00000000001</v>
      </c>
      <c r="H10" s="1">
        <v>116699.00000000001</v>
      </c>
      <c r="I10" s="1">
        <v>120199.97</v>
      </c>
      <c r="J10" s="1">
        <v>123805.9691</v>
      </c>
      <c r="K10" s="2">
        <v>584004.93910000008</v>
      </c>
    </row>
    <row r="11" spans="2:11" x14ac:dyDescent="0.35">
      <c r="B11" s="9">
        <v>2</v>
      </c>
      <c r="C11" s="7">
        <f>(base*(1+raise)^B11)*(1+bonus)</f>
        <v>113324.74999999997</v>
      </c>
      <c r="E11" s="17">
        <v>3.5000000000000003E-2</v>
      </c>
      <c r="F11" s="1">
        <v>110000.00000000001</v>
      </c>
      <c r="G11" s="1">
        <v>113850</v>
      </c>
      <c r="H11" s="1">
        <v>117834.75</v>
      </c>
      <c r="I11" s="1">
        <v>121958.96624999998</v>
      </c>
      <c r="J11" s="1">
        <v>126227.53006874998</v>
      </c>
      <c r="K11" s="2">
        <v>589871.24631874997</v>
      </c>
    </row>
    <row r="12" spans="2:11" ht="15" thickBot="1" x14ac:dyDescent="0.4">
      <c r="B12" s="9">
        <v>3</v>
      </c>
      <c r="C12" s="7">
        <f>(base*(1+raise)^B12)*(1+bonus)</f>
        <v>115024.62124999997</v>
      </c>
      <c r="E12" s="18">
        <v>0.04</v>
      </c>
      <c r="F12" s="3">
        <v>110000.00000000001</v>
      </c>
      <c r="G12" s="3">
        <v>114400.00000000001</v>
      </c>
      <c r="H12" s="3">
        <v>118976.00000000003</v>
      </c>
      <c r="I12" s="3">
        <v>123735.04000000002</v>
      </c>
      <c r="J12" s="3">
        <v>128684.44160000002</v>
      </c>
      <c r="K12" s="4">
        <v>595795.48160000006</v>
      </c>
    </row>
    <row r="13" spans="2:11" x14ac:dyDescent="0.35">
      <c r="B13" s="9">
        <v>4</v>
      </c>
      <c r="C13" s="7">
        <f>(base*(1+raise)^B13)*(1+bonus)</f>
        <v>116749.99056874996</v>
      </c>
    </row>
    <row r="14" spans="2:11" ht="15" thickBot="1" x14ac:dyDescent="0.4">
      <c r="B14" s="10" t="s">
        <v>3</v>
      </c>
      <c r="C14" s="24">
        <f>SUM(C9:C13)</f>
        <v>566749.36181874992</v>
      </c>
    </row>
  </sheetData>
  <mergeCells count="2">
    <mergeCell ref="B2:C2"/>
    <mergeCell ref="B7:C7"/>
  </mergeCells>
  <phoneticPr fontId="3" type="noConversion"/>
  <conditionalFormatting sqref="F4:J12">
    <cfRule type="colorScale" priority="2">
      <colorScale>
        <cfvo type="min"/>
        <cfvo type="max"/>
        <color theme="0"/>
        <color theme="3" tint="0.749992370372631"/>
      </colorScale>
    </cfRule>
  </conditionalFormatting>
  <conditionalFormatting sqref="K4:K12">
    <cfRule type="colorScale" priority="1">
      <colorScale>
        <cfvo type="min"/>
        <cfvo type="max"/>
        <color theme="0"/>
        <color theme="3" tint="0.499984740745262"/>
      </colorScale>
    </cfRule>
    <cfRule type="colorScale" priority="3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25D585-7A9D-4201-AA98-B90D36B61978}">
  <dimension ref="B1:K14"/>
  <sheetViews>
    <sheetView zoomScaleNormal="100" workbookViewId="0">
      <selection activeCell="B2" sqref="B2:C5"/>
    </sheetView>
  </sheetViews>
  <sheetFormatPr defaultRowHeight="14.5" x14ac:dyDescent="0.35"/>
  <cols>
    <col min="2" max="2" width="11.54296875" customWidth="1"/>
    <col min="3" max="3" width="11.90625" bestFit="1" customWidth="1"/>
    <col min="5" max="5" width="11" bestFit="1" customWidth="1"/>
    <col min="6" max="11" width="11.08984375" customWidth="1"/>
  </cols>
  <sheetData>
    <row r="1" spans="2:11" ht="15" thickBot="1" x14ac:dyDescent="0.4"/>
    <row r="2" spans="2:11" ht="15" thickBot="1" x14ac:dyDescent="0.4">
      <c r="B2" s="28" t="s">
        <v>9</v>
      </c>
      <c r="C2" s="29"/>
      <c r="E2" s="5"/>
      <c r="F2" s="31" t="s">
        <v>1</v>
      </c>
      <c r="G2" s="31"/>
      <c r="H2" s="31"/>
      <c r="I2" s="31"/>
      <c r="J2" s="31"/>
      <c r="K2" s="31"/>
    </row>
    <row r="3" spans="2:11" ht="15" thickBot="1" x14ac:dyDescent="0.4">
      <c r="B3" s="6" t="s">
        <v>0</v>
      </c>
      <c r="C3" s="25">
        <v>100000</v>
      </c>
      <c r="D3" s="30" t="s">
        <v>2</v>
      </c>
      <c r="E3" s="11">
        <f>C14</f>
        <v>566749.36181874992</v>
      </c>
      <c r="F3" s="19">
        <v>0</v>
      </c>
      <c r="G3" s="20">
        <v>0.05</v>
      </c>
      <c r="H3" s="20">
        <v>0.1</v>
      </c>
      <c r="I3" s="20">
        <v>0.15</v>
      </c>
      <c r="J3" s="20">
        <v>0.2</v>
      </c>
      <c r="K3" s="21">
        <v>0.25</v>
      </c>
    </row>
    <row r="4" spans="2:11" x14ac:dyDescent="0.35">
      <c r="B4" s="6" t="s">
        <v>1</v>
      </c>
      <c r="C4" s="26">
        <v>0.1</v>
      </c>
      <c r="D4" s="30"/>
      <c r="E4" s="16">
        <v>0</v>
      </c>
      <c r="F4" s="1">
        <f t="dataTable" ref="F4:K12" dt2D="1" dtr="1" r1="C4" r2="C5"/>
        <v>500000</v>
      </c>
      <c r="G4" s="1">
        <v>525000</v>
      </c>
      <c r="H4" s="1">
        <v>550000.00000000012</v>
      </c>
      <c r="I4" s="1">
        <v>574999.99999999988</v>
      </c>
      <c r="J4" s="1">
        <v>600000</v>
      </c>
      <c r="K4" s="2">
        <v>625000</v>
      </c>
    </row>
    <row r="5" spans="2:11" ht="15" thickBot="1" x14ac:dyDescent="0.4">
      <c r="B5" s="8" t="s">
        <v>2</v>
      </c>
      <c r="C5" s="27">
        <v>1.4999999999999999E-2</v>
      </c>
      <c r="D5" s="30"/>
      <c r="E5" s="17">
        <v>5.0000000000000001E-3</v>
      </c>
      <c r="F5" s="1">
        <v>505025.06256249989</v>
      </c>
      <c r="G5" s="1">
        <v>530276.31569062488</v>
      </c>
      <c r="H5" s="1">
        <v>555527.56881874998</v>
      </c>
      <c r="I5" s="1">
        <v>580778.82194687473</v>
      </c>
      <c r="J5" s="1">
        <v>606030.07507499983</v>
      </c>
      <c r="K5" s="2">
        <v>631281.32820312493</v>
      </c>
    </row>
    <row r="6" spans="2:11" ht="15" thickBot="1" x14ac:dyDescent="0.4">
      <c r="D6" s="30"/>
      <c r="E6" s="17">
        <v>0.01</v>
      </c>
      <c r="F6" s="1">
        <v>510100.50099999999</v>
      </c>
      <c r="G6" s="1">
        <v>535605.52604999999</v>
      </c>
      <c r="H6" s="1">
        <v>561110.55110000004</v>
      </c>
      <c r="I6" s="1">
        <v>586615.57614999986</v>
      </c>
      <c r="J6" s="1">
        <v>612120.60120000003</v>
      </c>
      <c r="K6" s="2">
        <v>637625.62624999997</v>
      </c>
    </row>
    <row r="7" spans="2:11" x14ac:dyDescent="0.35">
      <c r="B7" s="28" t="s">
        <v>10</v>
      </c>
      <c r="C7" s="29"/>
      <c r="D7" s="30"/>
      <c r="E7" s="17">
        <v>1.4999999999999999E-2</v>
      </c>
      <c r="F7" s="1">
        <v>515226.6925624999</v>
      </c>
      <c r="G7" s="1">
        <v>540988.02719062497</v>
      </c>
      <c r="H7" s="1">
        <v>566749.36181874992</v>
      </c>
      <c r="I7" s="1">
        <v>592510.69644687476</v>
      </c>
      <c r="J7" s="1">
        <v>618272.03107499983</v>
      </c>
      <c r="K7" s="2">
        <v>644033.3657031249</v>
      </c>
    </row>
    <row r="8" spans="2:11" x14ac:dyDescent="0.35">
      <c r="B8" s="14" t="s">
        <v>11</v>
      </c>
      <c r="C8" s="15" t="s">
        <v>12</v>
      </c>
      <c r="D8" s="30"/>
      <c r="E8" s="17">
        <v>0.02</v>
      </c>
      <c r="F8" s="1">
        <v>520404.016</v>
      </c>
      <c r="G8" s="1">
        <v>546424.21679999994</v>
      </c>
      <c r="H8" s="1">
        <v>572444.41760000004</v>
      </c>
      <c r="I8" s="1">
        <v>598464.61839999992</v>
      </c>
      <c r="J8" s="1">
        <v>624484.81919999991</v>
      </c>
      <c r="K8" s="2">
        <v>650505.02</v>
      </c>
    </row>
    <row r="9" spans="2:11" x14ac:dyDescent="0.35">
      <c r="B9" s="9">
        <v>0</v>
      </c>
      <c r="C9" s="7">
        <f>(base*(1+raise)^B9)*(1+bonus)</f>
        <v>110000.00000000001</v>
      </c>
      <c r="D9" s="30"/>
      <c r="E9" s="17">
        <v>2.5000000000000001E-2</v>
      </c>
      <c r="F9" s="1">
        <v>525632.8515625</v>
      </c>
      <c r="G9" s="1">
        <v>551914.494140625</v>
      </c>
      <c r="H9" s="1">
        <v>578196.13671875</v>
      </c>
      <c r="I9" s="1">
        <v>604477.77929687488</v>
      </c>
      <c r="J9" s="1">
        <v>630759.42187499988</v>
      </c>
      <c r="K9" s="2">
        <v>657041.064453125</v>
      </c>
    </row>
    <row r="10" spans="2:11" x14ac:dyDescent="0.35">
      <c r="B10" s="9">
        <v>1</v>
      </c>
      <c r="C10" s="7">
        <f>(base*(1+raise)^B10)*(1+bonus)</f>
        <v>111650</v>
      </c>
      <c r="D10" s="30"/>
      <c r="E10" s="17">
        <v>0.03</v>
      </c>
      <c r="F10" s="1">
        <v>530913.58100000001</v>
      </c>
      <c r="G10" s="1">
        <v>557459.26005000004</v>
      </c>
      <c r="H10" s="1">
        <v>584004.93910000008</v>
      </c>
      <c r="I10" s="1">
        <v>610550.61814999988</v>
      </c>
      <c r="J10" s="1">
        <v>637096.29719999991</v>
      </c>
      <c r="K10" s="2">
        <v>663641.97625000007</v>
      </c>
    </row>
    <row r="11" spans="2:11" x14ac:dyDescent="0.35">
      <c r="B11" s="9">
        <v>2</v>
      </c>
      <c r="C11" s="7">
        <f>(base*(1+raise)^B11)*(1+bonus)</f>
        <v>113324.74999999997</v>
      </c>
      <c r="D11" s="30"/>
      <c r="E11" s="17">
        <v>3.5000000000000003E-2</v>
      </c>
      <c r="F11" s="1">
        <v>536246.58756249992</v>
      </c>
      <c r="G11" s="1">
        <v>563058.91694062494</v>
      </c>
      <c r="H11" s="1">
        <v>589871.24631874997</v>
      </c>
      <c r="I11" s="1">
        <v>616683.57569687488</v>
      </c>
      <c r="J11" s="1">
        <v>643495.9050749999</v>
      </c>
      <c r="K11" s="2">
        <v>670308.23445312493</v>
      </c>
    </row>
    <row r="12" spans="2:11" ht="15" thickBot="1" x14ac:dyDescent="0.4">
      <c r="B12" s="9">
        <v>3</v>
      </c>
      <c r="C12" s="7">
        <f>(base*(1+raise)^B12)*(1+bonus)</f>
        <v>115024.62124999997</v>
      </c>
      <c r="D12" s="30"/>
      <c r="E12" s="18">
        <v>0.04</v>
      </c>
      <c r="F12" s="3">
        <v>541632.25600000005</v>
      </c>
      <c r="G12" s="3">
        <v>568713.86880000005</v>
      </c>
      <c r="H12" s="3">
        <v>595795.48160000006</v>
      </c>
      <c r="I12" s="3">
        <v>622877.09440000006</v>
      </c>
      <c r="J12" s="3">
        <v>649958.70720000006</v>
      </c>
      <c r="K12" s="4">
        <v>677040.32000000007</v>
      </c>
    </row>
    <row r="13" spans="2:11" x14ac:dyDescent="0.35">
      <c r="B13" s="9">
        <v>4</v>
      </c>
      <c r="C13" s="7">
        <f>(base*(1+raise)^B13)*(1+bonus)</f>
        <v>116749.99056874996</v>
      </c>
    </row>
    <row r="14" spans="2:11" ht="15" thickBot="1" x14ac:dyDescent="0.4">
      <c r="B14" s="10" t="s">
        <v>3</v>
      </c>
      <c r="C14" s="24">
        <f>SUM(C9:C13)</f>
        <v>566749.36181874992</v>
      </c>
    </row>
  </sheetData>
  <mergeCells count="4">
    <mergeCell ref="B2:C2"/>
    <mergeCell ref="B7:C7"/>
    <mergeCell ref="D3:D12"/>
    <mergeCell ref="F2:K2"/>
  </mergeCells>
  <conditionalFormatting sqref="F4:K12">
    <cfRule type="colorScale" priority="1">
      <colorScale>
        <cfvo type="min"/>
        <cfvo type="max"/>
        <color theme="0"/>
        <color theme="3" tint="0.749992370372631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12</vt:i4>
      </vt:variant>
    </vt:vector>
  </HeadingPairs>
  <TitlesOfParts>
    <vt:vector size="15" baseType="lpstr">
      <vt:lpstr>Original</vt:lpstr>
      <vt:lpstr>Data_Table_One-Input</vt:lpstr>
      <vt:lpstr>Data_Table_Two-Input</vt:lpstr>
      <vt:lpstr>'Data_Table_Two-Input'!base</vt:lpstr>
      <vt:lpstr>Original!base</vt:lpstr>
      <vt:lpstr>base</vt:lpstr>
      <vt:lpstr>'Data_Table_Two-Input'!bonus</vt:lpstr>
      <vt:lpstr>Original!bonus</vt:lpstr>
      <vt:lpstr>bonus</vt:lpstr>
      <vt:lpstr>'Data_Table_Two-Input'!bonuys</vt:lpstr>
      <vt:lpstr>Original!bonuys</vt:lpstr>
      <vt:lpstr>bonuys</vt:lpstr>
      <vt:lpstr>'Data_Table_Two-Input'!raise</vt:lpstr>
      <vt:lpstr>Original!raise</vt:lpstr>
      <vt:lpstr>raise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Luke Barousse</dc:creator>
  <cp:lastModifiedBy>Gopi Koya</cp:lastModifiedBy>
  <dcterms:created xsi:type="dcterms:W3CDTF">2024-08-08T18:34:47Z</dcterms:created>
  <dcterms:modified xsi:type="dcterms:W3CDTF">2026-06-01T10:49:24Z</dcterms:modified>
</cp:coreProperties>
</file>